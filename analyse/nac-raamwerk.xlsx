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 mij" sheetId="1" state="visible" r:id="rId3"/>
    <sheet name="Parameters" sheetId="2" state="visible" r:id="rId4"/>
    <sheet name="Reeksen" sheetId="3" state="visible" r:id="rId5"/>
    <sheet name="Berekening" sheetId="4" state="visible" r:id="rId6"/>
    <sheet name="Dekking" sheetId="5" state="visible" r:id="rId7"/>
    <sheet name="Contro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<sst xmlns="http://schemas.openxmlformats.org/spreadsheetml/2006/main" count="265" uniqueCount="185">
  <si>
    <t xml:space="preserve">Het nac-raamwerk van HuisartsInCijfers — controleversie</t>
  </si>
  <si>
    <t xml:space="preserve">Doel: elke stap van de berekening die de site straks toont, als werkende formule. Wijzig een blauw invoergetal en alles rekent door.</t>
  </si>
  <si>
    <t xml:space="preserve">LEGENDA</t>
  </si>
  <si>
    <t xml:space="preserve">Blauwe tekst = ingevoerd brongetal (met bron en vindplaats in de kolommen ernaast).</t>
  </si>
  <si>
    <t xml:space="preserve">Zwarte tekst = formule binnen het blad.  Groene tekst = verwijzing naar een ander blad.</t>
  </si>
  <si>
    <t xml:space="preserve">Gele vulling = de kernaannames die de uitkomst dragen.</t>
  </si>
  <si>
    <t xml:space="preserve">DE ZES AFSPRAKEN (gesprek 7 augustus 2026)</t>
  </si>
  <si>
    <t xml:space="preserve">1. Urenreeks: Nivel-ankerpunten 2018 (49,0) en 2024 (55,7), lineair geinterpoleerd, na 2024 doorgetrokken; dienst op de HAP (2,6 u, meting 2024) gaat er over de hele reeks af.</t>
  </si>
  <si>
    <t xml:space="preserve">2. Drie scope-zuivere niveaus: nac's die de NZa terecht acht -&gt; waarvan in de basistarieven -&gt; waarvan uit tariefgereguleerde tarieven; landelijk via ingeschreven verzekerden.</t>
  </si>
  <si>
    <t xml:space="preserve">3. De tariefketen volgt de verantwoording-2025 (praktijkweging: 2.650, 8,96%, 1,88%), want dat is wat werkelijk in de tarieven zat.</t>
  </si>
  <si>
    <t xml:space="preserve">4. Uitgevraagde uren per fte: 46,2 (NZa-QA 2026, blz. 10); figuur 4.2.6.2 van het feitenrapport geeft 46,5 - tweede vindplaats, niet gebruikt.</t>
  </si>
  <si>
    <t xml:space="preserve">5. Nac-bedrag per jaar = wat in de tarieven van dat jaar zat; 2025 dus de voorcalculatie EUR 202.476.</t>
  </si>
  <si>
    <t xml:space="preserve">6. Normpraktijk 2.095: vastgestelde norm (beleidsregel 2018), onderbouwd door het kostenonderzoek 2015 (tabel 14: meting 2.095, betrouwbaarheid +/- 120).</t>
  </si>
  <si>
    <t xml:space="preserve">KANTTEKENINGEN DIE BIJ DE CIJFERS HOREN</t>
  </si>
  <si>
    <t xml:space="preserve">- Het 2015-model liet anw-uren meelopen in de fte-basis; het 2022-model sluit ze uit via de urenuitvraag. Hiervoor is geen correctie mogelijk; de vergelijking van delers is hierdoor niet volmaakt.</t>
  </si>
  <si>
    <t xml:space="preserve">- De dienst-aftrek van 2,6 uur is alleen in 2024 gemeten; toepassing op eerdere jaren is een aanname.</t>
  </si>
  <si>
    <t xml:space="preserve">- De werkweek tussen 2018 en 2024 is interpolatie, geen meting per jaar.</t>
  </si>
  <si>
    <t xml:space="preserve">- Omzet-evenredigheid (elke euro omzet draagt evenveel kosten) is een aanname van de NZa zelf, in beide modellen; het aandeel "uit gereguleerde tarieven" erft die aanname.</t>
  </si>
  <si>
    <t xml:space="preserve">- De schoning verplaatst vergoeding naar andere bekostiging; of een individuele praktijk die andere bekostiging ontvangt, zegt het model niet.</t>
  </si>
  <si>
    <t xml:space="preserve">BRONNEN</t>
  </si>
  <si>
    <t xml:space="preserve">NZa, Praktijkkostenonderzoek huisartsen 2015 - Feitenrapport (juli 2017): tabellen 14, 15, 17, 33, 34; par. 3.2, 6.1-6.3.</t>
  </si>
  <si>
    <t xml:space="preserve">NZa, Kostprijsonderzoek huisartsenzorg 2022: tabellen 4.2.1.1-2, 4.2.5.1, 4.2.6.1; par. 2.2.2, 4.2.3-4.2.6; bijlagen 8.2, 8.4.7, 8.6.6-8.6.7.</t>
  </si>
  <si>
    <t xml:space="preserve">NZa, Verantwoording herziening tariefonderbouwing 2025 (Tabel 3, 9, 19); NZa QA tariefherijking 2026 (blz. 10).</t>
  </si>
  <si>
    <t xml:space="preserve">Berenschot, functiewaarderingsonderzoek nac (2024/2026-rapportage).</t>
  </si>
  <si>
    <t xml:space="preserve">Nivel, De werkweek van de Nederlandse huisarts in 2024 (Flinterman e.a., 2025), figuur 18-19, blz. 20; Nivel beroepenregistraties (praktijkhouders).</t>
  </si>
  <si>
    <t xml:space="preserve">Zorgenz.nl (20 juli 2017): normpraktijk per 2018 verlaagd van 2.168 naar 2.095 (beleidsregel huisartsenzorg en multidisciplinaire zorg 2018).</t>
  </si>
  <si>
    <t xml:space="preserve">Zorgcijfersdatabank / eigen Cijfer-Meester: ingeschreven verzekerden, nac-indexatie, gepubliceerde nac-reeks, CPI (CBS, 2015=100).</t>
  </si>
  <si>
    <t xml:space="preserve">Parameters - alle constanten van het raamwerk</t>
  </si>
  <si>
    <t xml:space="preserve">Omschrijving</t>
  </si>
  <si>
    <t xml:space="preserve">Waarde</t>
  </si>
  <si>
    <t xml:space="preserve">Eenheid</t>
  </si>
  <si>
    <t xml:space="preserve">Bron</t>
  </si>
  <si>
    <t xml:space="preserve">Vindplaats</t>
  </si>
  <si>
    <t xml:space="preserve">Status</t>
  </si>
  <si>
    <t xml:space="preserve">MODEL PKO 2015 (tariefjaren 2018-2024)</t>
  </si>
  <si>
    <t xml:space="preserve">Normpraktijk (patienten per volledige nac, binnen de 100%)</t>
  </si>
  <si>
    <t xml:space="preserve">patienten</t>
  </si>
  <si>
    <t xml:space="preserve">Beleidsregel 2018; PKO 2015</t>
  </si>
  <si>
    <t xml:space="preserve">zorgenz.nl 20-7-2017; tabel 14 en 34 (meting 2.095 +/- 120)</t>
  </si>
  <si>
    <t xml:space="preserve">definitief</t>
  </si>
  <si>
    <t xml:space="preserve">Aandeel tariefgereguleerd binnen de 100%</t>
  </si>
  <si>
    <t xml:space="preserve">aandeel</t>
  </si>
  <si>
    <t xml:space="preserve">PKO 2015</t>
  </si>
  <si>
    <t xml:space="preserve">tabel 33, regel 10</t>
  </si>
  <si>
    <t xml:space="preserve">Dekking niet-gereguleerd: segment 2 / poh-s / vrij</t>
  </si>
  <si>
    <t xml:space="preserve">tabel 33 (11,07 + 3,33 + 8,33)</t>
  </si>
  <si>
    <t xml:space="preserve">Nac, prijspeil 2015</t>
  </si>
  <si>
    <t xml:space="preserve">euro</t>
  </si>
  <si>
    <t xml:space="preserve">tabel 34, kolom A</t>
  </si>
  <si>
    <t xml:space="preserve">Praktijkkostenbestanddeel, herijkt, prijspeil 2015</t>
  </si>
  <si>
    <t xml:space="preserve">tabel 34</t>
  </si>
  <si>
    <t xml:space="preserve">Rekennorm basisconsulten per fte</t>
  </si>
  <si>
    <t xml:space="preserve">consulteenheden</t>
  </si>
  <si>
    <t xml:space="preserve">tabel 17 en 34</t>
  </si>
  <si>
    <t xml:space="preserve">Fte-definitie: uren per week (cap 1,0)</t>
  </si>
  <si>
    <t xml:space="preserve">uur/week</t>
  </si>
  <si>
    <t xml:space="preserve">par. 3.2</t>
  </si>
  <si>
    <t xml:space="preserve">Gemeten werkweek per fte (incl. 2,54 anw)</t>
  </si>
  <si>
    <t xml:space="preserve">blz. 33</t>
  </si>
  <si>
    <t xml:space="preserve">MODEL PKO 2022 (tariefjaren 2025-2026)</t>
  </si>
  <si>
    <t xml:space="preserve">Patienten per fte praktijkhouder (praktijkweging)</t>
  </si>
  <si>
    <t xml:space="preserve">Verantwoording 2025</t>
  </si>
  <si>
    <t xml:space="preserve">par. 5.3 (3.672 patienten / 1,39 fte)</t>
  </si>
  <si>
    <t xml:space="preserve">Schoning buiten de 100%</t>
  </si>
  <si>
    <t xml:space="preserve">Verantwoording 2025 / PKO 2022</t>
  </si>
  <si>
    <t xml:space="preserve">Tabel 19 / tabel 4.2.6.1; regel: bijlage 8.6.7</t>
  </si>
  <si>
    <t xml:space="preserve">Correctie poh-ggz (managementtijd)</t>
  </si>
  <si>
    <t xml:space="preserve">Tabel 19 / tabel 4.2.6.1</t>
  </si>
  <si>
    <t xml:space="preserve">afgeleid</t>
  </si>
  <si>
    <t xml:space="preserve">Binnen de 100%</t>
  </si>
  <si>
    <t xml:space="preserve">formule</t>
  </si>
  <si>
    <t xml:space="preserve">1 - schoning - poh-ggz</t>
  </si>
  <si>
    <t xml:space="preserve">Normpraktijk-equivalent (patienten per nac binnen 100%)</t>
  </si>
  <si>
    <t xml:space="preserve">2.650 / binnen-100%</t>
  </si>
  <si>
    <t xml:space="preserve">conform tariefketen (rapport-landelijk: 74,1%, tabel 4.2.1.2)</t>
  </si>
  <si>
    <t xml:space="preserve">Fte-definitie: uren per week (cap 1,0; excl. dienst)</t>
  </si>
  <si>
    <t xml:space="preserve">PKO 2022</t>
  </si>
  <si>
    <t xml:space="preserve">bijlage 8.6.7</t>
  </si>
  <si>
    <t xml:space="preserve">Uitgevraagde uren per fte (NZa)</t>
  </si>
  <si>
    <t xml:space="preserve">NZa QA 2026</t>
  </si>
  <si>
    <t xml:space="preserve">blz. 10 (figuur 4.2.6.2 rapport: 46,5)</t>
  </si>
  <si>
    <t xml:space="preserve">Nac herijkt (Berenschot), prijspeil 2024</t>
  </si>
  <si>
    <t xml:space="preserve">functiewaarderingsonderzoek</t>
  </si>
  <si>
    <t xml:space="preserve">ALGEMEEN</t>
  </si>
  <si>
    <t xml:space="preserve">Werkweken per jaar (fte-formule NZa)</t>
  </si>
  <si>
    <t xml:space="preserve">weken</t>
  </si>
  <si>
    <t xml:space="preserve">NZa</t>
  </si>
  <si>
    <t xml:space="preserve">beide modellen, par. 5.3 / 3.2</t>
  </si>
  <si>
    <t xml:space="preserve">Dienst op de huisartsenpost</t>
  </si>
  <si>
    <t xml:space="preserve">Nivel 2024</t>
  </si>
  <si>
    <t xml:space="preserve">Flinterman e.a. 2025, blz. 20</t>
  </si>
  <si>
    <t xml:space="preserve">Nivel-werkweek praktijkhouder, anker 2018</t>
  </si>
  <si>
    <t xml:space="preserve">Nivel</t>
  </si>
  <si>
    <t xml:space="preserve">Flinterman e.a. 2025 (reeks 2013/2018/2024)</t>
  </si>
  <si>
    <t xml:space="preserve">Nivel-werkweek praktijkhouder, anker 2024</t>
  </si>
  <si>
    <t xml:space="preserve">figuur 18; sms-meting, 884 deelnemers</t>
  </si>
  <si>
    <t xml:space="preserve">Jaarreeksen - invoer (blauw) en interpolatie (zwart)</t>
  </si>
  <si>
    <t xml:space="preserve">Jaar</t>
  </si>
  <si>
    <t xml:space="preserve">Ingeschreven verzekerden</t>
  </si>
  <si>
    <t xml:space="preserve">status</t>
  </si>
  <si>
    <t xml:space="preserve">Nac-bedrag in de tarieven (EUR)</t>
  </si>
  <si>
    <t xml:space="preserve">Gepubliceerde nac-reeks (Cijfer-Meester)</t>
  </si>
  <si>
    <t xml:space="preserve">Praktijkhouders (personen)</t>
  </si>
  <si>
    <t xml:space="preserve">herkomst</t>
  </si>
  <si>
    <t xml:space="preserve">Werkweek bruto (uur/wk)</t>
  </si>
  <si>
    <t xml:space="preserve">Werkweek excl. dienst (uur/wk)</t>
  </si>
  <si>
    <t xml:space="preserve">CPI (2015=100)</t>
  </si>
  <si>
    <t xml:space="preserve">Winst zelfst. mp, gemiddeld (EUR)</t>
  </si>
  <si>
    <t xml:space="preserve">Winst zelfst. mp, mediaan (EUR)</t>
  </si>
  <si>
    <t xml:space="preserve">2018</t>
  </si>
  <si>
    <t xml:space="preserve">Nivel-beroepenregistratie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</si>
  <si>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</si>
  <si>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</si>
  <si>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</si>
  <si>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</si>
  <si>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</si>
  <si>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</si>
  <si>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schatting (def-index ontbreekt)</t>
  </si>
  <si>
    <t xml:space="preserve">lineair tussen 2023 en 2025</t>
  </si>
  <si>
    <t xml:space="preserve">2025</t>
  </si>
  <si>
    <t xml:space="preserve">schatting</t>
  </si>
  <si>
    <t xml:space="preserve">definitief (VC)</t>
  </si>
  <si>
    <t xml:space="preserve">extrapolatie datalaag</t>
  </si>
  <si>
    <t xml:space="preserve">2026</t>
  </si>
  <si>
    <t xml:space="preserve">Ingeschrevenen: Vektis/Zorgcijfersdatabank; 2025-2026 geschat (bevolking x ratio 2024). Nac-bedrag: NZa-indexatie; 2025 = voorcalculatie (afspraak 5). Praktijkhouders: Nivel t/m 2023.</t>
  </si>
  <si>
    <t xml:space="preserve">Winst: CBS StatLine 84467NED, zelfstandig ondernemers (huisartsen) met personeel - beste benadering van het praktijkhouderschap; dga-praktijkhouders vallen buiten deze reeks. Fiscale winst voor belasting; loopt t/m 2023.</t>
  </si>
  <si>
    <t xml:space="preserve">De drie niveaus, per jaar - alles formules</t>
  </si>
  <si>
    <t xml:space="preserve">Deler: patienten per nac die de NZa terecht acht</t>
  </si>
  <si>
    <t xml:space="preserve">Nac's terecht geacht</t>
  </si>
  <si>
    <t xml:space="preserve">Deler: patienten per nac in de basistarieven</t>
  </si>
  <si>
    <t xml:space="preserve">Nac's in de basistarieven</t>
  </si>
  <si>
    <t xml:space="preserve">Aansluiting Cijfer-Meester</t>
  </si>
  <si>
    <t xml:space="preserve">Aandeel tarief-gereguleerd</t>
  </si>
  <si>
    <t xml:space="preserve">Nac-equivalent uit gereguleerde tarieven</t>
  </si>
  <si>
    <t xml:space="preserve">EUR terecht geacht</t>
  </si>
  <si>
    <t xml:space="preserve">EUR in de basistarieven</t>
  </si>
  <si>
    <t xml:space="preserve">EUR uit gereguleerd</t>
  </si>
  <si>
    <t xml:space="preserve">Gewerkte uren landelijk (excl. dienst)</t>
  </si>
  <si>
    <t xml:space="preserve">Per uur: terecht geacht</t>
  </si>
  <si>
    <t xml:space="preserve">Per uur: in de basistarieven</t>
  </si>
  <si>
    <t xml:space="preserve">Per uur: uit gereguleerd</t>
  </si>
  <si>
    <t xml:space="preserve">Per uur, prijspeil 2015 (basistarieven)</t>
  </si>
  <si>
    <t xml:space="preserve">Gerealiseerde winst per gewerkt uur (gemiddeld)</t>
  </si>
  <si>
    <t xml:space="preserve">Gerealiseerde winst per gewerkt uur (mediaan)</t>
  </si>
  <si>
    <t xml:space="preserve">Tot en met 2024 vallen niveau 1 en 2 samen: het 2015-model kortte de nac niet voor de 100%. Kolom F toont hoe de deling aansluit op de gepubliceerde reeks.</t>
  </si>
  <si>
    <t xml:space="preserve">Winst per uur deelt door de VOLLE werkweek (incl. dienst): in de gerealiseerde winst zitten ook de dienst- en overige inkomsten. De nac-kolommen delen door de werkweek exclusief dienst, omdat de nac dat werk niet dekt. Per persoon; geen landelijke optelling nodig.</t>
  </si>
  <si>
    <t xml:space="preserve">Waar een hele nac vandaan moet komen - beide modellen op 100%</t>
  </si>
  <si>
    <t xml:space="preserve">Component</t>
  </si>
  <si>
    <t xml:space="preserve">Model 2015</t>
  </si>
  <si>
    <t xml:space="preserve">Model 2022</t>
  </si>
  <si>
    <t xml:space="preserve">Toelichting / vindplaats</t>
  </si>
  <si>
    <t xml:space="preserve">Uit tariefgereguleerde tarieven</t>
  </si>
  <si>
    <t xml:space="preserve">2015: tabel 33. 2022: binnen-100% x aandeel gereguleerd</t>
  </si>
  <si>
    <t xml:space="preserve">Uit niet-gereguleerde omzet binnen de 100%</t>
  </si>
  <si>
    <t xml:space="preserve">2015: S2 11,07 + poh-s 3,33 + vrij 8,33 (griepprik c.s. zat in "vrij"). 2022: zorggroep 14,6 + S3 9,8 + M&amp;I 1,6 (tabel 4.2.1.2)</t>
  </si>
  <si>
    <t xml:space="preserve">Buiten de 100% gezet (schoning)</t>
  </si>
  <si>
    <t xml:space="preserve">2022: griepprik, bevolkingsonderzoek (incl. uitstrijkje), SBOH, verloskunde e.d. (par. 2.2.2, bijlage 8.2)</t>
  </si>
  <si>
    <t xml:space="preserve">Poh-ggz (managementtijd)</t>
  </si>
  <si>
    <t xml:space="preserve">2015: alleen praktijkkosten gecorrigeerd, nac ongemoeid. 2022: uit de nac geschoond</t>
  </si>
  <si>
    <t xml:space="preserve">Som (hoort 100% te zijn)</t>
  </si>
  <si>
    <t xml:space="preserve">controle</t>
  </si>
  <si>
    <t xml:space="preserve">Kern: het niet-gereguleerde deel binnen de 100% bleef vrijwel gelijk (22,74% -&gt; 22,82%), maar de samenstelling verschoof: griepprik c.s. ging eruit (naar buiten de 100%), gegroeide ketenzorg en S3 kwamen ervoor terug. De volledige daling van het gereguleerde aandeel (77,26% -&gt; 66,34%) is de nieuw geexternaliseerde 10,84%.</t>
  </si>
  <si>
    <t xml:space="preserve">Uitgesloten voor het model (geen onderdeel van de 100%): 2015: poh-ggz, hds/anw, resultaatbeloning (omzet uitgesloten; alleen praktijkkosten poh-ggz gecorrigeerd). 2022: anw (uren buiten de fte-uitvraag; infra-correctie 3,5% bij declaratie buiten hds), vacatiegelden, achterstandsfonds, medicatiebeoordeling (bijlage 8.2).</t>
  </si>
  <si>
    <t xml:space="preserve">Controles - elke regel hoort (vrijwel) nul of gelijk te zijn</t>
  </si>
  <si>
    <t xml:space="preserve">Controle</t>
  </si>
  <si>
    <t xml:space="preserve">Berekend</t>
  </si>
  <si>
    <t xml:space="preserve">Gepubliceerd</t>
  </si>
  <si>
    <t xml:space="preserve">Verschil</t>
  </si>
  <si>
    <t xml:space="preserve">Tariefformule 2015: inschrijftarief = (nac+pkb) x 33,89% / 2.095</t>
  </si>
  <si>
    <t xml:space="preserve">PKO 2015, tabel 34 en 33</t>
  </si>
  <si>
    <t xml:space="preserve">Tariefformule 2015: consulttarief = (nac+pkb) x 26,28% / 8.966</t>
  </si>
  <si>
    <t xml:space="preserve">Deler-identiteit: 2.650 / binnen-100% (site) vs ingeschrevenen/gepubliceerd (Cijfer-Meester, 2025)</t>
  </si>
  <si>
    <t xml:space="preserve">dezelfde deling, anders afgerond</t>
  </si>
  <si>
    <t xml:space="preserve">Grootste afwijking van de gepubliceerde reeks (alle jaren)</t>
  </si>
  <si>
    <t xml:space="preserve">norm: kleiner dan 0,1%</t>
  </si>
  <si>
    <t xml:space="preserve">Weging-alternatief: inschrijvingenweging zou 2.764 p/fte geven (4.477/1,62); afwijking t.o.v. gehanteerde 2.650</t>
  </si>
  <si>
    <t xml:space="preserve">PKO 2022 tabel 4.2.2.1/4.2.6.1; afspraak 3: verantwoording volgen</t>
  </si>
  <si>
    <t xml:space="preserve">DE KNIK 2024 -&gt; 2025, ONTLEED (per gewerkt uur)</t>
  </si>
  <si>
    <t xml:space="preserve">Per uur in de basistarieven, 2024</t>
  </si>
  <si>
    <t xml:space="preserve">Per uur in de basistarieven, 2025</t>
  </si>
  <si>
    <t xml:space="preserve">Knik totaal</t>
  </si>
  <si>
    <t xml:space="preserve">  waarvan: minder nac's terecht geacht (2.095 -&gt; 2.650)</t>
  </si>
  <si>
    <t xml:space="preserve">  waarvan: verplaatst naar andere bekostiging (schoning + poh-ggz)</t>
  </si>
  <si>
    <t xml:space="preserve">Controle: som van de delen minus de knik</t>
  </si>
  <si>
    <t xml:space="preserve">Let op: "verplaatst" betekent dat de NZa dit deel elders vergoed acht (andere bekostiging en vrije omzet, o.b.v. omzet-evenredigheid) - niet dat elke praktijk het daar ook ontvangt.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</si>
</sst>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0%"/>
    <numFmt numFmtId="167" formatCode="&quot;€ &quot;#,##0"/>
    <numFmt numFmtId="168" formatCode="0"/>
    <numFmt numFmtId="169" formatCode="0.00"/>
    <numFmt numFmtId="170" formatCode="#,##0.0"/>
    <numFmt numFmtId="171" formatCode="0.0"/>
    <numFmt numFmtId="172" formatCode="&quot;€ &quot;#,##0"/>
    <numFmt numFmtId="173" formatCode="0.000%"/>
    <numFmt numFmtId="174" formatCode="#,##0,,&quot; mln&quot;"/>
    <numFmt numFmtId="175" formatCode="&quot;€ &quot;0.00"/>
    <numFmt numFmtId="176" formatCode="&quot;€ &quot;0.00"/>
    <numFmt numFmtId="177" formatCode="&quot;€ &quot;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 gewerkt uur: wat het model inrekent en wat er gerealiseerd werd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Berekening!M3</c:f>
              <c:strCache>
                <c:ptCount val="1"/>
                <c:pt idx="0">
                  <c:v>Per uur: terecht geacht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Berekening!$A$4:$A$12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Berekening!$M$4:$M$12</c:f>
              <c:numCache>
                <c:formatCode>"€ "0.00</c:formatCode>
                <c:ptCount val="9"/>
                <c:pt idx="0">
                  <c:v>64.6370710224823</c:v>
                </c:pt>
                <c:pt idx="1">
                  <c:v>65.9673201655341</c:v>
                </c:pt>
                <c:pt idx="2">
                  <c:v>69.1697735474815</c:v>
                </c:pt>
                <c:pt idx="3">
                  <c:v>69.4903107716312</c:v>
                </c:pt>
                <c:pt idx="4">
                  <c:v>71.3600608795358</c:v>
                </c:pt>
                <c:pt idx="5">
                  <c:v>74.9680337676888</c:v>
                </c:pt>
                <c:pt idx="6">
                  <c:v>77.433213063594</c:v>
                </c:pt>
                <c:pt idx="7">
                  <c:v>72.6182453663515</c:v>
                </c:pt>
                <c:pt idx="8">
                  <c:v>79.3530332851489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Berekening!N3</c:f>
              <c:strCache>
                <c:ptCount val="1"/>
                <c:pt idx="0">
                  <c:v>Per uur: in de basistarieven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Berekening!$A$4:$A$12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Berekening!$N$4:$N$12</c:f>
              <c:numCache>
                <c:formatCode>"€ "0.00</c:formatCode>
                <c:ptCount val="9"/>
                <c:pt idx="0">
                  <c:v>64.6370710224823</c:v>
                </c:pt>
                <c:pt idx="1">
                  <c:v>65.9673201655341</c:v>
                </c:pt>
                <c:pt idx="2">
                  <c:v>69.1697735474815</c:v>
                </c:pt>
                <c:pt idx="3">
                  <c:v>69.4903107716312</c:v>
                </c:pt>
                <c:pt idx="4">
                  <c:v>71.3600608795358</c:v>
                </c:pt>
                <c:pt idx="5">
                  <c:v>74.9680337676888</c:v>
                </c:pt>
                <c:pt idx="6">
                  <c:v>77.433213063594</c:v>
                </c:pt>
                <c:pt idx="7">
                  <c:v>64.746427568639</c:v>
                </c:pt>
                <c:pt idx="8">
                  <c:v>70.7511644770387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Berekening!O3</c:f>
              <c:strCache>
                <c:ptCount val="1"/>
                <c:pt idx="0">
                  <c:v>Per uur: uit gereguleerd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Berekening!$A$4:$A$12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Berekening!$O$4:$O$12</c:f>
              <c:numCache>
                <c:formatCode>"€ "0.00</c:formatCode>
                <c:ptCount val="9"/>
                <c:pt idx="0">
                  <c:v>49.9386010719698</c:v>
                </c:pt>
                <c:pt idx="1">
                  <c:v>50.9663515598916</c:v>
                </c:pt>
                <c:pt idx="2">
                  <c:v>53.4405670427842</c:v>
                </c:pt>
                <c:pt idx="3">
                  <c:v>53.6882141021623</c:v>
                </c:pt>
                <c:pt idx="4">
                  <c:v>55.1327830355293</c:v>
                </c:pt>
                <c:pt idx="5">
                  <c:v>57.9203028889164</c:v>
                </c:pt>
                <c:pt idx="6">
                  <c:v>59.8249004129327</c:v>
                </c:pt>
                <c:pt idx="7">
                  <c:v>48.1713421110674</c:v>
                </c:pt>
                <c:pt idx="8">
                  <c:v>52.6388663709168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Berekening!Q3</c:f>
              <c:strCache>
                <c:ptCount val="1"/>
                <c:pt idx="0">
                  <c:v>Gerealiseerde winst per gewerkt uur (gemiddeld)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Berekening!$A$4:$A$12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Berekening!$Q$4:$Q$12</c:f>
              <c:numCache>
                <c:formatCode>"€ "0.00</c:formatCode>
                <c:ptCount val="9"/>
                <c:pt idx="0">
                  <c:v>63.265306122449</c:v>
                </c:pt>
                <c:pt idx="1">
                  <c:v>65.6684825982859</c:v>
                </c:pt>
                <c:pt idx="2">
                  <c:v>69.889416018128</c:v>
                </c:pt>
                <c:pt idx="3">
                  <c:v>69.2662264856111</c:v>
                </c:pt>
                <c:pt idx="4">
                  <c:v>64.4815052731723</c:v>
                </c:pt>
                <c:pt idx="5">
                  <c:v>69.144614208103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479088"/>
        <c:axId val="34707143"/>
      </c:lineChart>
      <c:catAx>
        <c:axId val="90479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jaar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07143"/>
        <c:crosses val="autoZero"/>
        <c:auto val="1"/>
        <c:lblAlgn val="ctr"/>
        <c:lblOffset val="100"/>
        <c:noMultiLvlLbl val="0"/>
      </c:catAx>
      <c:valAx>
        <c:axId val="347071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euro per uur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79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10</xdr:col>
      <xdr:colOff>244440</xdr:colOff>
      <xdr:row>33</xdr:row>
      <xdr:rowOff>181080</xdr:rowOff>
    </xdr:to>
    <xdr:graphicFrame>
      <xdr:nvGraphicFramePr>
        <xdr:cNvPr id="0" name="Chart 1"/>
        <xdr:cNvGraphicFramePr/>
      </xdr:nvGraphicFramePr>
      <xdr:xfrm>
        <a:off x="493560" y="3838680"/>
        <a:ext cx="82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2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2" t="s">
        <v>6</v>
      </c>
    </row>
    <row r="11" customFormat="false" ht="23.25" hidden="false" customHeight="true" outlineLevel="0" collapsed="false">
      <c r="A11" s="3" t="s">
        <v>7</v>
      </c>
    </row>
    <row r="12" customFormat="false" ht="23.2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23.2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2" t="s">
        <v>13</v>
      </c>
    </row>
    <row r="19" customFormat="false" ht="23.2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23.2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/>
    </row>
    <row r="25" customFormat="false" ht="15" hidden="false" customHeight="true" outlineLevel="0" collapsed="false">
      <c r="A25" s="2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23.2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  <row r="32" customFormat="false" ht="15" hidden="false" customHeight="true" outlineLevel="0" collapsed="false">
      <c r="A32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40"/>
    <col collapsed="false" customWidth="true" hidden="false" outlineLevel="0" max="6" min="6" style="1" width="12"/>
  </cols>
  <sheetData>
    <row r="1" customFormat="false" ht="15" hidden="false" customHeight="true" outlineLevel="0" collapsed="false">
      <c r="A1" s="4" t="s">
        <v>27</v>
      </c>
    </row>
    <row r="3" customFormat="false" ht="15" hidden="false" customHeight="tru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</row>
    <row r="4" customFormat="false" ht="15" hidden="false" customHeight="true" outlineLevel="0" collapsed="false">
      <c r="A4" s="6" t="s">
        <v>34</v>
      </c>
    </row>
    <row r="5" customFormat="false" ht="15" hidden="false" customHeight="true" outlineLevel="0" collapsed="false">
      <c r="A5" s="7" t="s">
        <v>35</v>
      </c>
      <c r="B5" s="8" t="n">
        <v>2095</v>
      </c>
      <c r="C5" s="7" t="s">
        <v>36</v>
      </c>
      <c r="D5" s="7" t="s">
        <v>37</v>
      </c>
      <c r="E5" s="7" t="s">
        <v>38</v>
      </c>
      <c r="F5" s="7" t="s">
        <v>39</v>
      </c>
    </row>
    <row r="6" customFormat="false" ht="15" hidden="false" customHeight="true" outlineLevel="0" collapsed="false">
      <c r="A6" s="7" t="s">
        <v>40</v>
      </c>
      <c r="B6" s="9" t="n">
        <v>0.7726</v>
      </c>
      <c r="C6" s="7" t="s">
        <v>41</v>
      </c>
      <c r="D6" s="7" t="s">
        <v>42</v>
      </c>
      <c r="E6" s="7" t="s">
        <v>43</v>
      </c>
      <c r="F6" s="7" t="s">
        <v>39</v>
      </c>
    </row>
    <row r="7" customFormat="false" ht="15" hidden="false" customHeight="true" outlineLevel="0" collapsed="false">
      <c r="A7" s="7" t="s">
        <v>44</v>
      </c>
      <c r="B7" s="10" t="n">
        <v>0.2274</v>
      </c>
      <c r="C7" s="7" t="s">
        <v>41</v>
      </c>
      <c r="D7" s="7" t="s">
        <v>42</v>
      </c>
      <c r="E7" s="7" t="s">
        <v>45</v>
      </c>
      <c r="F7" s="7" t="s">
        <v>39</v>
      </c>
    </row>
    <row r="8" customFormat="false" ht="15" hidden="false" customHeight="true" outlineLevel="0" collapsed="false">
      <c r="A8" s="7" t="s">
        <v>46</v>
      </c>
      <c r="B8" s="11" t="n">
        <v>128311</v>
      </c>
      <c r="C8" s="7" t="s">
        <v>47</v>
      </c>
      <c r="D8" s="7" t="s">
        <v>42</v>
      </c>
      <c r="E8" s="7" t="s">
        <v>48</v>
      </c>
      <c r="F8" s="7" t="s">
        <v>39</v>
      </c>
    </row>
    <row r="9" customFormat="false" ht="15" hidden="false" customHeight="true" outlineLevel="0" collapsed="false">
      <c r="A9" s="7" t="s">
        <v>49</v>
      </c>
      <c r="B9" s="11" t="n">
        <v>182110</v>
      </c>
      <c r="C9" s="7" t="s">
        <v>47</v>
      </c>
      <c r="D9" s="7" t="s">
        <v>42</v>
      </c>
      <c r="E9" s="7" t="s">
        <v>50</v>
      </c>
      <c r="F9" s="7" t="s">
        <v>39</v>
      </c>
    </row>
    <row r="10" customFormat="false" ht="15" hidden="false" customHeight="true" outlineLevel="0" collapsed="false">
      <c r="A10" s="7" t="s">
        <v>51</v>
      </c>
      <c r="B10" s="12" t="n">
        <v>8966</v>
      </c>
      <c r="C10" s="7" t="s">
        <v>52</v>
      </c>
      <c r="D10" s="7" t="s">
        <v>42</v>
      </c>
      <c r="E10" s="7" t="s">
        <v>53</v>
      </c>
      <c r="F10" s="7" t="s">
        <v>39</v>
      </c>
    </row>
    <row r="11" customFormat="false" ht="15" hidden="false" customHeight="true" outlineLevel="0" collapsed="false">
      <c r="A11" s="7" t="s">
        <v>54</v>
      </c>
      <c r="B11" s="13" t="n">
        <v>40</v>
      </c>
      <c r="C11" s="7" t="s">
        <v>55</v>
      </c>
      <c r="D11" s="7" t="s">
        <v>42</v>
      </c>
      <c r="E11" s="7" t="s">
        <v>56</v>
      </c>
      <c r="F11" s="7" t="s">
        <v>39</v>
      </c>
    </row>
    <row r="12" customFormat="false" ht="15" hidden="false" customHeight="true" outlineLevel="0" collapsed="false">
      <c r="A12" s="7" t="s">
        <v>57</v>
      </c>
      <c r="B12" s="14" t="n">
        <v>52.05</v>
      </c>
      <c r="C12" s="7" t="s">
        <v>55</v>
      </c>
      <c r="D12" s="7" t="s">
        <v>42</v>
      </c>
      <c r="E12" s="7" t="s">
        <v>58</v>
      </c>
      <c r="F12" s="7" t="s">
        <v>39</v>
      </c>
    </row>
    <row r="14" customFormat="false" ht="15" hidden="false" customHeight="true" outlineLevel="0" collapsed="false">
      <c r="A14" s="6" t="s">
        <v>59</v>
      </c>
    </row>
    <row r="15" customFormat="false" ht="15" hidden="false" customHeight="true" outlineLevel="0" collapsed="false">
      <c r="A15" s="7" t="s">
        <v>60</v>
      </c>
      <c r="B15" s="8" t="n">
        <v>2650</v>
      </c>
      <c r="C15" s="7" t="s">
        <v>36</v>
      </c>
      <c r="D15" s="7" t="s">
        <v>61</v>
      </c>
      <c r="E15" s="7" t="s">
        <v>62</v>
      </c>
      <c r="F15" s="7" t="s">
        <v>39</v>
      </c>
    </row>
    <row r="16" customFormat="false" ht="15" hidden="false" customHeight="true" outlineLevel="0" collapsed="false">
      <c r="A16" s="7" t="s">
        <v>63</v>
      </c>
      <c r="B16" s="9" t="n">
        <v>0.0896</v>
      </c>
      <c r="C16" s="7" t="s">
        <v>41</v>
      </c>
      <c r="D16" s="7" t="s">
        <v>64</v>
      </c>
      <c r="E16" s="7" t="s">
        <v>65</v>
      </c>
      <c r="F16" s="7" t="s">
        <v>39</v>
      </c>
    </row>
    <row r="17" customFormat="false" ht="15" hidden="false" customHeight="true" outlineLevel="0" collapsed="false">
      <c r="A17" s="7" t="s">
        <v>66</v>
      </c>
      <c r="B17" s="10" t="n">
        <v>0.0188</v>
      </c>
      <c r="C17" s="7" t="s">
        <v>41</v>
      </c>
      <c r="D17" s="7" t="s">
        <v>64</v>
      </c>
      <c r="E17" s="7" t="s">
        <v>67</v>
      </c>
      <c r="F17" s="7" t="s">
        <v>68</v>
      </c>
    </row>
    <row r="18" customFormat="false" ht="15" hidden="false" customHeight="true" outlineLevel="0" collapsed="false">
      <c r="A18" s="7" t="s">
        <v>69</v>
      </c>
      <c r="B18" s="15" t="n">
        <f aca="false">1-B16-B17</f>
        <v>0.8916</v>
      </c>
      <c r="C18" s="7" t="s">
        <v>41</v>
      </c>
      <c r="D18" s="7" t="s">
        <v>70</v>
      </c>
      <c r="E18" s="7" t="s">
        <v>71</v>
      </c>
      <c r="F18" s="16" t="s">
        <v>68</v>
      </c>
    </row>
    <row r="19" customFormat="false" ht="15" hidden="false" customHeight="true" outlineLevel="0" collapsed="false">
      <c r="A19" s="7" t="s">
        <v>72</v>
      </c>
      <c r="B19" s="17" t="n">
        <f aca="false">B15/B18</f>
        <v>2972.18483624944</v>
      </c>
      <c r="C19" s="7" t="s">
        <v>36</v>
      </c>
      <c r="D19" s="7" t="s">
        <v>70</v>
      </c>
      <c r="E19" s="7" t="s">
        <v>73</v>
      </c>
      <c r="F19" s="16" t="s">
        <v>68</v>
      </c>
    </row>
    <row r="20" customFormat="false" ht="15" hidden="false" customHeight="true" outlineLevel="0" collapsed="false">
      <c r="A20" s="7" t="s">
        <v>40</v>
      </c>
      <c r="B20" s="9" t="n">
        <v>0.744</v>
      </c>
      <c r="C20" s="7" t="s">
        <v>41</v>
      </c>
      <c r="D20" s="7" t="s">
        <v>61</v>
      </c>
      <c r="E20" s="7" t="s">
        <v>74</v>
      </c>
      <c r="F20" s="7" t="s">
        <v>39</v>
      </c>
    </row>
    <row r="21" customFormat="false" ht="15" hidden="false" customHeight="true" outlineLevel="0" collapsed="false">
      <c r="A21" s="7" t="s">
        <v>75</v>
      </c>
      <c r="B21" s="13" t="n">
        <v>36</v>
      </c>
      <c r="C21" s="7" t="s">
        <v>55</v>
      </c>
      <c r="D21" s="7" t="s">
        <v>76</v>
      </c>
      <c r="E21" s="7" t="s">
        <v>77</v>
      </c>
      <c r="F21" s="7" t="s">
        <v>39</v>
      </c>
    </row>
    <row r="22" customFormat="false" ht="15" hidden="false" customHeight="true" outlineLevel="0" collapsed="false">
      <c r="A22" s="7" t="s">
        <v>78</v>
      </c>
      <c r="B22" s="18" t="n">
        <v>46.2</v>
      </c>
      <c r="C22" s="7" t="s">
        <v>55</v>
      </c>
      <c r="D22" s="7" t="s">
        <v>79</v>
      </c>
      <c r="E22" s="7" t="s">
        <v>80</v>
      </c>
      <c r="F22" s="7" t="s">
        <v>39</v>
      </c>
    </row>
    <row r="23" customFormat="false" ht="15" hidden="false" customHeight="true" outlineLevel="0" collapsed="false">
      <c r="A23" s="7" t="s">
        <v>81</v>
      </c>
      <c r="B23" s="11" t="n">
        <v>194352</v>
      </c>
      <c r="C23" s="7" t="s">
        <v>47</v>
      </c>
      <c r="D23" s="7" t="s">
        <v>61</v>
      </c>
      <c r="E23" s="7" t="s">
        <v>82</v>
      </c>
      <c r="F23" s="7" t="s">
        <v>39</v>
      </c>
    </row>
    <row r="25" customFormat="false" ht="15" hidden="false" customHeight="true" outlineLevel="0" collapsed="false">
      <c r="A25" s="6" t="s">
        <v>83</v>
      </c>
    </row>
    <row r="26" customFormat="false" ht="15" hidden="false" customHeight="true" outlineLevel="0" collapsed="false">
      <c r="A26" s="7" t="s">
        <v>84</v>
      </c>
      <c r="B26" s="19" t="n">
        <v>46</v>
      </c>
      <c r="C26" s="7" t="s">
        <v>85</v>
      </c>
      <c r="D26" s="7" t="s">
        <v>86</v>
      </c>
      <c r="E26" s="7" t="s">
        <v>87</v>
      </c>
      <c r="F26" s="7" t="s">
        <v>39</v>
      </c>
    </row>
    <row r="27" customFormat="false" ht="15" hidden="false" customHeight="true" outlineLevel="0" collapsed="false">
      <c r="A27" s="7" t="s">
        <v>88</v>
      </c>
      <c r="B27" s="20" t="n">
        <v>2.6</v>
      </c>
      <c r="C27" s="7" t="s">
        <v>55</v>
      </c>
      <c r="D27" s="7" t="s">
        <v>89</v>
      </c>
      <c r="E27" s="7" t="s">
        <v>90</v>
      </c>
      <c r="F27" s="7" t="s">
        <v>39</v>
      </c>
    </row>
    <row r="28" customFormat="false" ht="15" hidden="false" customHeight="true" outlineLevel="0" collapsed="false">
      <c r="A28" s="7" t="s">
        <v>91</v>
      </c>
      <c r="B28" s="18" t="n">
        <v>49</v>
      </c>
      <c r="C28" s="7" t="s">
        <v>55</v>
      </c>
      <c r="D28" s="7" t="s">
        <v>92</v>
      </c>
      <c r="E28" s="7" t="s">
        <v>93</v>
      </c>
      <c r="F28" s="7" t="s">
        <v>39</v>
      </c>
    </row>
    <row r="29" customFormat="false" ht="15" hidden="false" customHeight="true" outlineLevel="0" collapsed="false">
      <c r="A29" s="7" t="s">
        <v>94</v>
      </c>
      <c r="B29" s="20" t="n">
        <v>55.7</v>
      </c>
      <c r="C29" s="7" t="s">
        <v>55</v>
      </c>
      <c r="D29" s="7" t="s">
        <v>89</v>
      </c>
      <c r="E29" s="7" t="s">
        <v>95</v>
      </c>
      <c r="F29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26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3" min="12" style="0" width="15"/>
  </cols>
  <sheetData>
    <row r="1" customFormat="false" ht="15" hidden="false" customHeight="true" outlineLevel="0" collapsed="false">
      <c r="A1" s="4" t="s">
        <v>96</v>
      </c>
    </row>
    <row r="3" customFormat="false" ht="34.5" hidden="false" customHeight="true" outlineLevel="0" collapsed="false">
      <c r="A3" s="21" t="s">
        <v>97</v>
      </c>
      <c r="B3" s="21" t="s">
        <v>98</v>
      </c>
      <c r="C3" s="21" t="s">
        <v>99</v>
      </c>
      <c r="D3" s="21" t="s">
        <v>100</v>
      </c>
      <c r="E3" s="21" t="s">
        <v>99</v>
      </c>
      <c r="F3" s="21" t="s">
        <v>101</v>
      </c>
      <c r="G3" s="21" t="s">
        <v>102</v>
      </c>
      <c r="H3" s="21" t="s">
        <v>103</v>
      </c>
      <c r="I3" s="21" t="s">
        <v>104</v>
      </c>
      <c r="J3" s="21" t="s">
        <v>105</v>
      </c>
      <c r="K3" s="21" t="s">
        <v>106</v>
      </c>
      <c r="L3" s="21" t="s">
        <v>107</v>
      </c>
      <c r="M3" s="21" t="s">
        <v>108</v>
      </c>
    </row>
    <row r="4" customFormat="false" ht="15" hidden="false" customHeight="true" outlineLevel="0" collapsed="false">
      <c r="A4" s="22" t="s">
        <v>109</v>
      </c>
      <c r="B4" s="12" t="n">
        <v>16870343</v>
      </c>
      <c r="C4" s="16" t="s">
        <v>39</v>
      </c>
      <c r="D4" s="11" t="n">
        <v>135397.167</v>
      </c>
      <c r="E4" s="16" t="s">
        <v>39</v>
      </c>
      <c r="F4" s="12" t="n">
        <v>8052</v>
      </c>
      <c r="G4" s="12" t="n">
        <v>7903</v>
      </c>
      <c r="H4" s="16" t="s">
        <v>110</v>
      </c>
      <c r="I4" s="23" t="n">
        <f aca="false">Parameters!$B$28</f>
        <v>49</v>
      </c>
      <c r="J4" s="24" t="n">
        <f aca="false">I4-Parameters!$B$27</f>
        <v>46.4</v>
      </c>
      <c r="K4" s="14" t="n">
        <v>103.44</v>
      </c>
      <c r="L4" s="25" t="n">
        <v>142600</v>
      </c>
      <c r="M4" s="25" t="n">
        <v>133900</v>
      </c>
    </row>
    <row r="5" customFormat="false" ht="15" hidden="false" customHeight="true" outlineLevel="0" collapsed="false">
      <c r="A5" s="22" t="s">
        <v>111</v>
      </c>
      <c r="B5" s="12" t="n">
        <v>16985302</v>
      </c>
      <c r="C5" s="16" t="s">
        <v>39</v>
      </c>
      <c r="D5" s="11" t="n">
        <v>140027.7502</v>
      </c>
      <c r="E5" s="16" t="s">
        <v>39</v>
      </c>
      <c r="F5" s="12" t="n">
        <v>8107</v>
      </c>
      <c r="G5" s="12" t="n">
        <v>7873</v>
      </c>
      <c r="H5" s="16" t="s">
        <v>110</v>
      </c>
      <c r="I5" s="23" t="n">
        <f aca="false">ROUND(Parameters!$B$28+(Parameters!$B$29-Parameters!$B$28)*(2019-2018)/6,2)</f>
        <v>50.12</v>
      </c>
      <c r="J5" s="24" t="n">
        <f aca="false">I5-Parameters!$B$27</f>
        <v>47.52</v>
      </c>
      <c r="K5" s="14" t="n">
        <v>106.16</v>
      </c>
      <c r="L5" s="25" t="n">
        <v>151400</v>
      </c>
      <c r="M5" s="25" t="n">
        <v>141800</v>
      </c>
    </row>
    <row r="6" customFormat="false" ht="15" hidden="false" customHeight="true" outlineLevel="0" collapsed="false">
      <c r="A6" s="22" t="s">
        <v>112</v>
      </c>
      <c r="B6" s="12" t="n">
        <v>17039624</v>
      </c>
      <c r="C6" s="16" t="s">
        <v>39</v>
      </c>
      <c r="D6" s="11" t="n">
        <v>144620.6604</v>
      </c>
      <c r="E6" s="16" t="s">
        <v>39</v>
      </c>
      <c r="F6" s="12" t="n">
        <v>8133</v>
      </c>
      <c r="G6" s="12" t="n">
        <v>7602</v>
      </c>
      <c r="H6" s="16" t="s">
        <v>110</v>
      </c>
      <c r="I6" s="23" t="n">
        <f aca="false">ROUND(Parameters!$B$28+(Parameters!$B$29-Parameters!$B$28)*(2020-2018)/6,2)</f>
        <v>51.23</v>
      </c>
      <c r="J6" s="24" t="n">
        <f aca="false">I6-Parameters!$B$27</f>
        <v>48.63</v>
      </c>
      <c r="K6" s="14" t="n">
        <v>107.51</v>
      </c>
      <c r="L6" s="25" t="n">
        <v>164700</v>
      </c>
      <c r="M6" s="25" t="n">
        <v>153400</v>
      </c>
    </row>
    <row r="7" customFormat="false" ht="15" hidden="false" customHeight="true" outlineLevel="0" collapsed="false">
      <c r="A7" s="22" t="s">
        <v>113</v>
      </c>
      <c r="B7" s="12" t="n">
        <v>17136157</v>
      </c>
      <c r="C7" s="16" t="s">
        <v>39</v>
      </c>
      <c r="D7" s="11" t="n">
        <v>147527.5356</v>
      </c>
      <c r="E7" s="16" t="s">
        <v>39</v>
      </c>
      <c r="F7" s="12" t="n">
        <v>8179</v>
      </c>
      <c r="G7" s="12" t="n">
        <v>7588</v>
      </c>
      <c r="H7" s="16" t="s">
        <v>110</v>
      </c>
      <c r="I7" s="23" t="n">
        <f aca="false">ROUND(Parameters!$B$28+(Parameters!$B$29-Parameters!$B$28)*(2021-2018)/6,2)</f>
        <v>52.35</v>
      </c>
      <c r="J7" s="24" t="n">
        <f aca="false">I7-Parameters!$B$27</f>
        <v>49.75</v>
      </c>
      <c r="K7" s="14" t="n">
        <v>110.39</v>
      </c>
      <c r="L7" s="25" t="n">
        <v>166800</v>
      </c>
      <c r="M7" s="25" t="n">
        <v>153600</v>
      </c>
    </row>
    <row r="8" customFormat="false" ht="15" hidden="false" customHeight="true" outlineLevel="0" collapsed="false">
      <c r="A8" s="22" t="s">
        <v>114</v>
      </c>
      <c r="B8" s="12" t="n">
        <v>17224936</v>
      </c>
      <c r="C8" s="16" t="s">
        <v>39</v>
      </c>
      <c r="D8" s="11" t="n">
        <v>154048.2527</v>
      </c>
      <c r="E8" s="16" t="s">
        <v>39</v>
      </c>
      <c r="F8" s="12" t="n">
        <v>8221</v>
      </c>
      <c r="G8" s="12" t="n">
        <v>7585</v>
      </c>
      <c r="H8" s="16" t="s">
        <v>110</v>
      </c>
      <c r="I8" s="23" t="n">
        <f aca="false">ROUND(Parameters!$B$28+(Parameters!$B$29-Parameters!$B$28)*(2022-2018)/6,2)</f>
        <v>53.47</v>
      </c>
      <c r="J8" s="24" t="n">
        <f aca="false">I8-Parameters!$B$27</f>
        <v>50.87</v>
      </c>
      <c r="K8" s="14" t="n">
        <v>121.43</v>
      </c>
      <c r="L8" s="25" t="n">
        <v>158600</v>
      </c>
      <c r="M8" s="25" t="n">
        <v>145400</v>
      </c>
    </row>
    <row r="9" customFormat="false" ht="15" hidden="false" customHeight="true" outlineLevel="0" collapsed="false">
      <c r="A9" s="22" t="s">
        <v>115</v>
      </c>
      <c r="B9" s="12" t="n">
        <v>17329993</v>
      </c>
      <c r="C9" s="16" t="s">
        <v>39</v>
      </c>
      <c r="D9" s="11" t="n">
        <v>163845.7216</v>
      </c>
      <c r="E9" s="16" t="s">
        <v>39</v>
      </c>
      <c r="F9" s="12" t="n">
        <v>8272</v>
      </c>
      <c r="G9" s="12" t="n">
        <v>7561</v>
      </c>
      <c r="H9" s="16" t="s">
        <v>110</v>
      </c>
      <c r="I9" s="23" t="n">
        <f aca="false">ROUND(Parameters!$B$28+(Parameters!$B$29-Parameters!$B$28)*(2023-2018)/6,2)</f>
        <v>54.58</v>
      </c>
      <c r="J9" s="24" t="n">
        <f aca="false">I9-Parameters!$B$27</f>
        <v>51.98</v>
      </c>
      <c r="K9" s="14" t="n">
        <v>126.09</v>
      </c>
      <c r="L9" s="25" t="n">
        <v>173600</v>
      </c>
      <c r="M9" s="25" t="n">
        <v>161300</v>
      </c>
    </row>
    <row r="10" customFormat="false" ht="15" hidden="false" customHeight="true" outlineLevel="0" collapsed="false">
      <c r="A10" s="22" t="s">
        <v>116</v>
      </c>
      <c r="B10" s="12" t="n">
        <v>17399407</v>
      </c>
      <c r="C10" s="16" t="s">
        <v>39</v>
      </c>
      <c r="D10" s="11" t="n">
        <v>171939.7002</v>
      </c>
      <c r="E10" s="16" t="s">
        <v>117</v>
      </c>
      <c r="F10" s="12" t="n">
        <v>8305</v>
      </c>
      <c r="G10" s="26" t="n">
        <f aca="false">ROUND((G9+G11)/2,0)</f>
        <v>7550</v>
      </c>
      <c r="H10" s="16" t="s">
        <v>118</v>
      </c>
      <c r="I10" s="23" t="n">
        <f aca="false">Parameters!$B$29</f>
        <v>55.7</v>
      </c>
      <c r="J10" s="24" t="n">
        <f aca="false">I10-Parameters!$B$27</f>
        <v>53.1</v>
      </c>
      <c r="K10" s="14" t="n">
        <v>130.31</v>
      </c>
      <c r="L10" s="25"/>
      <c r="M10" s="25"/>
    </row>
    <row r="11" customFormat="false" ht="15" hidden="false" customHeight="true" outlineLevel="0" collapsed="false">
      <c r="A11" s="22" t="s">
        <v>119</v>
      </c>
      <c r="B11" s="12" t="n">
        <v>17499537</v>
      </c>
      <c r="C11" s="16" t="s">
        <v>120</v>
      </c>
      <c r="D11" s="11" t="n">
        <v>202476</v>
      </c>
      <c r="E11" s="16" t="s">
        <v>121</v>
      </c>
      <c r="F11" s="12" t="n">
        <v>5885</v>
      </c>
      <c r="G11" s="12" t="n">
        <v>7538</v>
      </c>
      <c r="H11" s="16" t="s">
        <v>122</v>
      </c>
      <c r="I11" s="23" t="n">
        <f aca="false">Parameters!$B$29</f>
        <v>55.7</v>
      </c>
      <c r="J11" s="24" t="n">
        <f aca="false">I11-Parameters!$B$27</f>
        <v>53.1</v>
      </c>
      <c r="K11" s="14" t="n">
        <v>134.56</v>
      </c>
      <c r="L11" s="25"/>
      <c r="M11" s="25"/>
    </row>
    <row r="12" customFormat="false" ht="15" hidden="false" customHeight="true" outlineLevel="0" collapsed="false">
      <c r="A12" s="22" t="s">
        <v>123</v>
      </c>
      <c r="B12" s="12" t="n">
        <v>17584903</v>
      </c>
      <c r="C12" s="16" t="s">
        <v>120</v>
      </c>
      <c r="D12" s="11" t="n">
        <v>219479</v>
      </c>
      <c r="E12" s="16" t="s">
        <v>39</v>
      </c>
      <c r="F12" s="12" t="n">
        <v>5914</v>
      </c>
      <c r="G12" s="12" t="n">
        <v>7514</v>
      </c>
      <c r="H12" s="16" t="s">
        <v>122</v>
      </c>
      <c r="I12" s="23" t="n">
        <f aca="false">Parameters!$B$29</f>
        <v>55.7</v>
      </c>
      <c r="J12" s="24" t="n">
        <f aca="false">I12-Parameters!$B$27</f>
        <v>53.1</v>
      </c>
      <c r="K12" s="14"/>
      <c r="L12" s="25"/>
      <c r="M12" s="25"/>
    </row>
    <row r="14" customFormat="false" ht="27.75" hidden="false" customHeight="true" outlineLevel="0" collapsed="false">
      <c r="A14" s="27" t="s">
        <v>124</v>
      </c>
    </row>
    <row r="15" customFormat="false" ht="27.75" hidden="false" customHeight="true" outlineLevel="0" collapsed="false">
      <c r="A15" s="27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7" min="5" style="1" width="11"/>
    <col collapsed="false" customWidth="true" hidden="false" outlineLevel="0" max="8" min="8" style="1" width="12"/>
    <col collapsed="false" customWidth="true" hidden="false" outlineLevel="0" max="12" min="9" style="1" width="15"/>
    <col collapsed="false" customWidth="true" hidden="false" outlineLevel="0" max="15" min="13" style="1" width="11"/>
    <col collapsed="false" customWidth="true" hidden="false" outlineLevel="0" max="16" min="16" style="1" width="12"/>
    <col collapsed="false" customWidth="true" hidden="false" outlineLevel="0" max="18" min="17" style="0" width="13"/>
  </cols>
  <sheetData>
    <row r="1" customFormat="false" ht="15" hidden="false" customHeight="true" outlineLevel="0" collapsed="false">
      <c r="A1" s="4" t="s">
        <v>126</v>
      </c>
    </row>
    <row r="3" customFormat="false" ht="51.75" hidden="false" customHeight="true" outlineLevel="0" collapsed="false">
      <c r="A3" s="21" t="s">
        <v>97</v>
      </c>
      <c r="B3" s="21" t="s">
        <v>127</v>
      </c>
      <c r="C3" s="21" t="s">
        <v>128</v>
      </c>
      <c r="D3" s="21" t="s">
        <v>129</v>
      </c>
      <c r="E3" s="21" t="s">
        <v>130</v>
      </c>
      <c r="F3" s="21" t="s">
        <v>131</v>
      </c>
      <c r="G3" s="21" t="s">
        <v>132</v>
      </c>
      <c r="H3" s="21" t="s">
        <v>133</v>
      </c>
      <c r="I3" s="21" t="s">
        <v>134</v>
      </c>
      <c r="J3" s="21" t="s">
        <v>135</v>
      </c>
      <c r="K3" s="21" t="s">
        <v>136</v>
      </c>
      <c r="L3" s="21" t="s">
        <v>137</v>
      </c>
      <c r="M3" s="21" t="s">
        <v>138</v>
      </c>
      <c r="N3" s="21" t="s">
        <v>139</v>
      </c>
      <c r="O3" s="21" t="s">
        <v>140</v>
      </c>
      <c r="P3" s="21" t="s">
        <v>141</v>
      </c>
      <c r="Q3" s="21" t="s">
        <v>142</v>
      </c>
      <c r="R3" s="21" t="s">
        <v>143</v>
      </c>
    </row>
    <row r="4" customFormat="false" ht="15" hidden="false" customHeight="true" outlineLevel="0" collapsed="false">
      <c r="A4" s="22" t="s">
        <v>109</v>
      </c>
      <c r="B4" s="28" t="n">
        <f aca="false">IF(A4*1&lt;=2024,Parameters!$B$5,Parameters!$B$15)</f>
        <v>2095</v>
      </c>
      <c r="C4" s="26" t="n">
        <f aca="false">Reeksen!B4/B4</f>
        <v>8052.66968973747</v>
      </c>
      <c r="D4" s="29" t="n">
        <f aca="false">IF(A4*1&lt;=2024,Parameters!$B$5,Parameters!$B$19)</f>
        <v>2095</v>
      </c>
      <c r="E4" s="26" t="n">
        <f aca="false">Reeksen!B4/D4</f>
        <v>8052.66968973747</v>
      </c>
      <c r="F4" s="30" t="n">
        <f aca="false">E4/Reeksen!F4-1</f>
        <v>8.31706082302652E-005</v>
      </c>
      <c r="G4" s="31" t="n">
        <f aca="false">IF(A4*1&lt;=2024,Parameters!$B$6,Parameters!$B$20)</f>
        <v>0.7726</v>
      </c>
      <c r="H4" s="26" t="n">
        <f aca="false">E4*G4</f>
        <v>6221.49260229117</v>
      </c>
      <c r="I4" s="7" t="n">
        <f aca="false">C4*Reeksen!D4</f>
        <v>1090308662.77722</v>
      </c>
      <c r="J4" s="7" t="n">
        <f aca="false">E4*Reeksen!D4</f>
        <v>1090308662.77722</v>
      </c>
      <c r="K4" s="7" t="n">
        <f aca="false">H4*Reeksen!D4</f>
        <v>842372472.861682</v>
      </c>
      <c r="L4" s="32" t="n">
        <f aca="false">Reeksen!G4*Reeksen!J4*Parameters!$B$26</f>
        <v>16868163.2</v>
      </c>
      <c r="M4" s="33" t="n">
        <f aca="false">I4/L4</f>
        <v>64.6370710224823</v>
      </c>
      <c r="N4" s="34" t="n">
        <f aca="false">J4/L4</f>
        <v>64.6370710224823</v>
      </c>
      <c r="O4" s="33" t="n">
        <f aca="false">K4/L4</f>
        <v>49.9386010719698</v>
      </c>
      <c r="P4" s="33" t="n">
        <f aca="false">IF(Reeksen!K4="","",N4*100/Reeksen!K4)</f>
        <v>62.4875009884786</v>
      </c>
      <c r="Q4" s="35" t="n">
        <f aca="false">IF(Reeksen!L4="","",Reeksen!L4/(Reeksen!I4*Parameters!$B$26))</f>
        <v>63.265306122449</v>
      </c>
      <c r="R4" s="35" t="n">
        <f aca="false">IF(Reeksen!M4="","",Reeksen!M4/(Reeksen!I4*Parameters!$B$26))</f>
        <v>59.4055013309672</v>
      </c>
    </row>
    <row r="5" customFormat="false" ht="15" hidden="false" customHeight="true" outlineLevel="0" collapsed="false">
      <c r="A5" s="22" t="s">
        <v>111</v>
      </c>
      <c r="B5" s="28" t="n">
        <f aca="false">IF(A5*1&lt;=2024,Parameters!$B$5,Parameters!$B$15)</f>
        <v>2095</v>
      </c>
      <c r="C5" s="26" t="n">
        <f aca="false">Reeksen!B5/B5</f>
        <v>8107.54272076372</v>
      </c>
      <c r="D5" s="29" t="n">
        <f aca="false">IF(A5*1&lt;=2024,Parameters!$B$5,Parameters!$B$19)</f>
        <v>2095</v>
      </c>
      <c r="E5" s="26" t="n">
        <f aca="false">Reeksen!B5/D5</f>
        <v>8107.54272076372</v>
      </c>
      <c r="F5" s="30" t="n">
        <f aca="false">E5/Reeksen!F5-1</f>
        <v>6.69447099694853E-005</v>
      </c>
      <c r="G5" s="31" t="n">
        <f aca="false">IF(A5*1&lt;=2024,Parameters!$B$6,Parameters!$B$20)</f>
        <v>0.7726</v>
      </c>
      <c r="H5" s="26" t="n">
        <f aca="false">E5*G5</f>
        <v>6263.88750606205</v>
      </c>
      <c r="I5" s="7" t="n">
        <f aca="false">C5*Reeksen!D5</f>
        <v>1135280966.83893</v>
      </c>
      <c r="J5" s="7" t="n">
        <f aca="false">E5*Reeksen!D5</f>
        <v>1135280966.83893</v>
      </c>
      <c r="K5" s="7" t="n">
        <f aca="false">H5*Reeksen!D5</f>
        <v>877118074.979758</v>
      </c>
      <c r="L5" s="32" t="n">
        <f aca="false">Reeksen!G5*Reeksen!J5*Parameters!$B$26</f>
        <v>17209748.16</v>
      </c>
      <c r="M5" s="33" t="n">
        <f aca="false">I5/L5</f>
        <v>65.9673201655341</v>
      </c>
      <c r="N5" s="34" t="n">
        <f aca="false">J5/L5</f>
        <v>65.9673201655341</v>
      </c>
      <c r="O5" s="33" t="n">
        <f aca="false">K5/L5</f>
        <v>50.9663515598916</v>
      </c>
      <c r="P5" s="33" t="n">
        <f aca="false">IF(Reeksen!K5="","",N5*100/Reeksen!K5)</f>
        <v>62.1395254008422</v>
      </c>
      <c r="Q5" s="35" t="n">
        <f aca="false">IF(Reeksen!L5="","",Reeksen!L5/(Reeksen!I5*Parameters!$B$26))</f>
        <v>65.6684825982859</v>
      </c>
      <c r="R5" s="35" t="n">
        <f aca="false">IF(Reeksen!M5="","",Reeksen!M5/(Reeksen!I5*Parameters!$B$26))</f>
        <v>61.5045629619348</v>
      </c>
    </row>
    <row r="6" customFormat="false" ht="15" hidden="false" customHeight="true" outlineLevel="0" collapsed="false">
      <c r="A6" s="22" t="s">
        <v>112</v>
      </c>
      <c r="B6" s="28" t="n">
        <f aca="false">IF(A6*1&lt;=2024,Parameters!$B$5,Parameters!$B$15)</f>
        <v>2095</v>
      </c>
      <c r="C6" s="26" t="n">
        <f aca="false">Reeksen!B6/B6</f>
        <v>8133.47207637232</v>
      </c>
      <c r="D6" s="29" t="n">
        <f aca="false">IF(A6*1&lt;=2024,Parameters!$B$5,Parameters!$B$19)</f>
        <v>2095</v>
      </c>
      <c r="E6" s="26" t="n">
        <f aca="false">Reeksen!B6/D6</f>
        <v>8133.47207637232</v>
      </c>
      <c r="F6" s="30" t="n">
        <f aca="false">E6/Reeksen!F6-1</f>
        <v>5.80445557991638E-005</v>
      </c>
      <c r="G6" s="31" t="n">
        <f aca="false">IF(A6*1&lt;=2024,Parameters!$B$6,Parameters!$B$20)</f>
        <v>0.7726</v>
      </c>
      <c r="H6" s="26" t="n">
        <f aca="false">E6*G6</f>
        <v>6283.92052620525</v>
      </c>
      <c r="I6" s="7" t="n">
        <f aca="false">C6*Reeksen!D6</f>
        <v>1176268103.02992</v>
      </c>
      <c r="J6" s="7" t="n">
        <f aca="false">E6*Reeksen!D6</f>
        <v>1176268103.02992</v>
      </c>
      <c r="K6" s="7" t="n">
        <f aca="false">H6*Reeksen!D6</f>
        <v>908784736.400919</v>
      </c>
      <c r="L6" s="32" t="n">
        <f aca="false">Reeksen!G6*Reeksen!J6*Parameters!$B$26</f>
        <v>17005521.96</v>
      </c>
      <c r="M6" s="33" t="n">
        <f aca="false">I6/L6</f>
        <v>69.1697735474815</v>
      </c>
      <c r="N6" s="34" t="n">
        <f aca="false">J6/L6</f>
        <v>69.1697735474815</v>
      </c>
      <c r="O6" s="33" t="n">
        <f aca="false">K6/L6</f>
        <v>53.4405670427842</v>
      </c>
      <c r="P6" s="33" t="n">
        <f aca="false">IF(Reeksen!K6="","",N6*100/Reeksen!K6)</f>
        <v>64.3379904636606</v>
      </c>
      <c r="Q6" s="35" t="n">
        <f aca="false">IF(Reeksen!L6="","",Reeksen!L6/(Reeksen!I6*Parameters!$B$26))</f>
        <v>69.889416018128</v>
      </c>
      <c r="R6" s="35" t="n">
        <f aca="false">IF(Reeksen!M6="","",Reeksen!M6/(Reeksen!I6*Parameters!$B$26))</f>
        <v>65.0943316161556</v>
      </c>
    </row>
    <row r="7" customFormat="false" ht="15" hidden="false" customHeight="true" outlineLevel="0" collapsed="false">
      <c r="A7" s="22" t="s">
        <v>113</v>
      </c>
      <c r="B7" s="28" t="n">
        <f aca="false">IF(A7*1&lt;=2024,Parameters!$B$5,Parameters!$B$15)</f>
        <v>2095</v>
      </c>
      <c r="C7" s="26" t="n">
        <f aca="false">Reeksen!B7/B7</f>
        <v>8179.54988066826</v>
      </c>
      <c r="D7" s="29" t="n">
        <f aca="false">IF(A7*1&lt;=2024,Parameters!$B$5,Parameters!$B$19)</f>
        <v>2095</v>
      </c>
      <c r="E7" s="26" t="n">
        <f aca="false">Reeksen!B7/D7</f>
        <v>8179.54988066826</v>
      </c>
      <c r="F7" s="30" t="n">
        <f aca="false">E7/Reeksen!F7-1</f>
        <v>6.72307945051021E-005</v>
      </c>
      <c r="G7" s="31" t="n">
        <f aca="false">IF(A7*1&lt;=2024,Parameters!$B$6,Parameters!$B$20)</f>
        <v>0.7726</v>
      </c>
      <c r="H7" s="26" t="n">
        <f aca="false">E7*G7</f>
        <v>6319.5202378043</v>
      </c>
      <c r="I7" s="7" t="n">
        <f aca="false">C7*Reeksen!D7</f>
        <v>1206708836.21226</v>
      </c>
      <c r="J7" s="7" t="n">
        <f aca="false">E7*Reeksen!D7</f>
        <v>1206708836.21226</v>
      </c>
      <c r="K7" s="7" t="n">
        <f aca="false">H7*Reeksen!D7</f>
        <v>932303246.857594</v>
      </c>
      <c r="L7" s="32" t="n">
        <f aca="false">Reeksen!G7*Reeksen!J7*Parameters!$B$26</f>
        <v>17365138</v>
      </c>
      <c r="M7" s="33" t="n">
        <f aca="false">I7/L7</f>
        <v>69.4903107716312</v>
      </c>
      <c r="N7" s="34" t="n">
        <f aca="false">J7/L7</f>
        <v>69.4903107716312</v>
      </c>
      <c r="O7" s="33" t="n">
        <f aca="false">K7/L7</f>
        <v>53.6882141021623</v>
      </c>
      <c r="P7" s="33" t="n">
        <f aca="false">IF(Reeksen!K7="","",N7*100/Reeksen!K7)</f>
        <v>62.9498240525692</v>
      </c>
      <c r="Q7" s="35" t="n">
        <f aca="false">IF(Reeksen!L7="","",Reeksen!L7/(Reeksen!I7*Parameters!$B$26))</f>
        <v>69.2662264856111</v>
      </c>
      <c r="R7" s="35" t="n">
        <f aca="false">IF(Reeksen!M7="","",Reeksen!M7/(Reeksen!I7*Parameters!$B$26))</f>
        <v>63.7847265479008</v>
      </c>
    </row>
    <row r="8" customFormat="false" ht="15" hidden="false" customHeight="true" outlineLevel="0" collapsed="false">
      <c r="A8" s="22" t="s">
        <v>114</v>
      </c>
      <c r="B8" s="28" t="n">
        <f aca="false">IF(A8*1&lt;=2024,Parameters!$B$5,Parameters!$B$15)</f>
        <v>2095</v>
      </c>
      <c r="C8" s="26" t="n">
        <f aca="false">Reeksen!B8/B8</f>
        <v>8221.92649164678</v>
      </c>
      <c r="D8" s="29" t="n">
        <f aca="false">IF(A8*1&lt;=2024,Parameters!$B$5,Parameters!$B$19)</f>
        <v>2095</v>
      </c>
      <c r="E8" s="26" t="n">
        <f aca="false">Reeksen!B8/D8</f>
        <v>8221.92649164678</v>
      </c>
      <c r="F8" s="30" t="n">
        <f aca="false">E8/Reeksen!F8-1</f>
        <v>0.000112698168930558</v>
      </c>
      <c r="G8" s="31" t="n">
        <f aca="false">IF(A8*1&lt;=2024,Parameters!$B$6,Parameters!$B$20)</f>
        <v>0.7726</v>
      </c>
      <c r="H8" s="26" t="n">
        <f aca="false">E8*G8</f>
        <v>6352.2604074463</v>
      </c>
      <c r="I8" s="7" t="n">
        <f aca="false">C8*Reeksen!D8</f>
        <v>1266573409.86603</v>
      </c>
      <c r="J8" s="7" t="n">
        <f aca="false">E8*Reeksen!D8</f>
        <v>1266573409.86603</v>
      </c>
      <c r="K8" s="7" t="n">
        <f aca="false">H8*Reeksen!D8</f>
        <v>978554616.462493</v>
      </c>
      <c r="L8" s="32" t="n">
        <f aca="false">Reeksen!G8*Reeksen!J8*Parameters!$B$26</f>
        <v>17749051.7</v>
      </c>
      <c r="M8" s="33" t="n">
        <f aca="false">I8/L8</f>
        <v>71.3600608795358</v>
      </c>
      <c r="N8" s="34" t="n">
        <f aca="false">J8/L8</f>
        <v>71.3600608795358</v>
      </c>
      <c r="O8" s="33" t="n">
        <f aca="false">K8/L8</f>
        <v>55.1327830355293</v>
      </c>
      <c r="P8" s="33" t="n">
        <f aca="false">IF(Reeksen!K8="","",N8*100/Reeksen!K8)</f>
        <v>58.766417589999</v>
      </c>
      <c r="Q8" s="35" t="n">
        <f aca="false">IF(Reeksen!L8="","",Reeksen!L8/(Reeksen!I8*Parameters!$B$26))</f>
        <v>64.4815052731723</v>
      </c>
      <c r="R8" s="35" t="n">
        <f aca="false">IF(Reeksen!M8="","",Reeksen!M8/(Reeksen!I8*Parameters!$B$26))</f>
        <v>59.1148226148755</v>
      </c>
    </row>
    <row r="9" customFormat="false" ht="15" hidden="false" customHeight="true" outlineLevel="0" collapsed="false">
      <c r="A9" s="22" t="s">
        <v>115</v>
      </c>
      <c r="B9" s="28" t="n">
        <f aca="false">IF(A9*1&lt;=2024,Parameters!$B$5,Parameters!$B$15)</f>
        <v>2095</v>
      </c>
      <c r="C9" s="26" t="n">
        <f aca="false">Reeksen!B9/B9</f>
        <v>8272.07303102625</v>
      </c>
      <c r="D9" s="29" t="n">
        <f aca="false">IF(A9*1&lt;=2024,Parameters!$B$5,Parameters!$B$19)</f>
        <v>2095</v>
      </c>
      <c r="E9" s="26" t="n">
        <f aca="false">Reeksen!B9/D9</f>
        <v>8272.07303102625</v>
      </c>
      <c r="F9" s="30" t="n">
        <f aca="false">E9/Reeksen!F9-1</f>
        <v>8.8287024000433E-006</v>
      </c>
      <c r="G9" s="31" t="n">
        <f aca="false">IF(A9*1&lt;=2024,Parameters!$B$6,Parameters!$B$20)</f>
        <v>0.7726</v>
      </c>
      <c r="H9" s="26" t="n">
        <f aca="false">E9*G9</f>
        <v>6391.00362377088</v>
      </c>
      <c r="I9" s="7" t="n">
        <f aca="false">C9*Reeksen!D9</f>
        <v>1355343774.8964</v>
      </c>
      <c r="J9" s="7" t="n">
        <f aca="false">E9*Reeksen!D9</f>
        <v>1355343774.8964</v>
      </c>
      <c r="K9" s="7" t="n">
        <f aca="false">H9*Reeksen!D9</f>
        <v>1047138600.48496</v>
      </c>
      <c r="L9" s="32" t="n">
        <f aca="false">Reeksen!G9*Reeksen!J9*Parameters!$B$26</f>
        <v>18078955.88</v>
      </c>
      <c r="M9" s="33" t="n">
        <f aca="false">I9/L9</f>
        <v>74.9680337676888</v>
      </c>
      <c r="N9" s="34" t="n">
        <f aca="false">J9/L9</f>
        <v>74.9680337676888</v>
      </c>
      <c r="O9" s="33" t="n">
        <f aca="false">K9/L9</f>
        <v>57.9203028889164</v>
      </c>
      <c r="P9" s="33" t="n">
        <f aca="false">IF(Reeksen!K9="","",N9*100/Reeksen!K9)</f>
        <v>59.4559709474889</v>
      </c>
      <c r="Q9" s="35" t="n">
        <f aca="false">IF(Reeksen!L9="","",Reeksen!L9/(Reeksen!I9*Parameters!$B$26))</f>
        <v>69.144614208103</v>
      </c>
      <c r="R9" s="35" t="n">
        <f aca="false">IF(Reeksen!M9="","",Reeksen!M9/(Reeksen!I9*Parameters!$B$26))</f>
        <v>64.2455430401326</v>
      </c>
    </row>
    <row r="10" customFormat="false" ht="15" hidden="false" customHeight="true" outlineLevel="0" collapsed="false">
      <c r="A10" s="22" t="s">
        <v>116</v>
      </c>
      <c r="B10" s="28" t="n">
        <f aca="false">IF(A10*1&lt;=2024,Parameters!$B$5,Parameters!$B$15)</f>
        <v>2095</v>
      </c>
      <c r="C10" s="26" t="n">
        <f aca="false">Reeksen!B10/B10</f>
        <v>8305.2062052506</v>
      </c>
      <c r="D10" s="29" t="n">
        <f aca="false">IF(A10*1&lt;=2024,Parameters!$B$5,Parameters!$B$19)</f>
        <v>2095</v>
      </c>
      <c r="E10" s="26" t="n">
        <f aca="false">Reeksen!B10/D10</f>
        <v>8305.2062052506</v>
      </c>
      <c r="F10" s="30" t="n">
        <f aca="false">E10/Reeksen!F10-1</f>
        <v>2.48290488376046E-005</v>
      </c>
      <c r="G10" s="31" t="n">
        <f aca="false">IF(A10*1&lt;=2024,Parameters!$B$6,Parameters!$B$20)</f>
        <v>0.7726</v>
      </c>
      <c r="H10" s="26" t="n">
        <f aca="false">E10*G10</f>
        <v>6416.60231417661</v>
      </c>
      <c r="I10" s="7" t="n">
        <f aca="false">C10*Reeksen!D10</f>
        <v>1427994665.02997</v>
      </c>
      <c r="J10" s="7" t="n">
        <f aca="false">E10*Reeksen!D10</f>
        <v>1427994665.02997</v>
      </c>
      <c r="K10" s="7" t="n">
        <f aca="false">H10*Reeksen!D10</f>
        <v>1103268678.20215</v>
      </c>
      <c r="L10" s="32" t="n">
        <f aca="false">Reeksen!G10*Reeksen!J10*Parameters!$B$26</f>
        <v>18441630</v>
      </c>
      <c r="M10" s="33" t="n">
        <f aca="false">I10/L10</f>
        <v>77.433213063594</v>
      </c>
      <c r="N10" s="34" t="n">
        <f aca="false">J10/L10</f>
        <v>77.433213063594</v>
      </c>
      <c r="O10" s="33" t="n">
        <f aca="false">K10/L10</f>
        <v>59.8249004129327</v>
      </c>
      <c r="P10" s="33" t="n">
        <f aca="false">IF(Reeksen!K10="","",N10*100/Reeksen!K10)</f>
        <v>59.4223106926514</v>
      </c>
      <c r="Q10" s="35" t="str">
        <f aca="false">IF(Reeksen!L10="","",Reeksen!L10/(Reeksen!I10*Parameters!$B$26))</f>
        <v/>
      </c>
      <c r="R10" s="35" t="str">
        <f aca="false">IF(Reeksen!M10="","",Reeksen!M10/(Reeksen!I10*Parameters!$B$26))</f>
        <v/>
      </c>
    </row>
    <row r="11" customFormat="false" ht="15" hidden="false" customHeight="true" outlineLevel="0" collapsed="false">
      <c r="A11" s="22" t="s">
        <v>119</v>
      </c>
      <c r="B11" s="28" t="n">
        <f aca="false">IF(A11*1&lt;=2024,Parameters!$B$5,Parameters!$B$15)</f>
        <v>2650</v>
      </c>
      <c r="C11" s="26" t="n">
        <f aca="false">Reeksen!B11/B11</f>
        <v>6603.59886792453</v>
      </c>
      <c r="D11" s="29" t="n">
        <f aca="false">IF(A11*1&lt;=2024,Parameters!$B$5,Parameters!$B$19)</f>
        <v>2972.18483624944</v>
      </c>
      <c r="E11" s="26" t="n">
        <f aca="false">Reeksen!B11/D11</f>
        <v>5887.76875064151</v>
      </c>
      <c r="F11" s="30" t="n">
        <f aca="false">E11/Reeksen!F11-1</f>
        <v>0.000470475894903899</v>
      </c>
      <c r="G11" s="31" t="n">
        <f aca="false">IF(A11*1&lt;=2024,Parameters!$B$6,Parameters!$B$20)</f>
        <v>0.744</v>
      </c>
      <c r="H11" s="26" t="n">
        <f aca="false">E11*G11</f>
        <v>4380.49995047728</v>
      </c>
      <c r="I11" s="7" t="n">
        <f aca="false">C11*Reeksen!D11</f>
        <v>1337070284.38189</v>
      </c>
      <c r="J11" s="7" t="n">
        <f aca="false">E11*Reeksen!D11</f>
        <v>1192131865.55489</v>
      </c>
      <c r="K11" s="7" t="n">
        <f aca="false">H11*Reeksen!D11</f>
        <v>886946107.972838</v>
      </c>
      <c r="L11" s="32" t="n">
        <f aca="false">Reeksen!G11*Reeksen!J11*Parameters!$B$26</f>
        <v>18412318.8</v>
      </c>
      <c r="M11" s="33" t="n">
        <f aca="false">I11/L11</f>
        <v>72.6182453663515</v>
      </c>
      <c r="N11" s="34" t="n">
        <f aca="false">J11/L11</f>
        <v>64.746427568639</v>
      </c>
      <c r="O11" s="33" t="n">
        <f aca="false">K11/L11</f>
        <v>48.1713421110674</v>
      </c>
      <c r="P11" s="33" t="n">
        <f aca="false">IF(Reeksen!K11="","",N11*100/Reeksen!K11)</f>
        <v>48.1171429612359</v>
      </c>
      <c r="Q11" s="35" t="str">
        <f aca="false">IF(Reeksen!L11="","",Reeksen!L11/(Reeksen!I11*Parameters!$B$26))</f>
        <v/>
      </c>
      <c r="R11" s="35" t="str">
        <f aca="false">IF(Reeksen!M11="","",Reeksen!M11/(Reeksen!I11*Parameters!$B$26))</f>
        <v/>
      </c>
    </row>
    <row r="12" customFormat="false" ht="15" hidden="false" customHeight="true" outlineLevel="0" collapsed="false">
      <c r="A12" s="22" t="s">
        <v>123</v>
      </c>
      <c r="B12" s="28" t="n">
        <f aca="false">IF(A12*1&lt;=2024,Parameters!$B$5,Parameters!$B$15)</f>
        <v>2650</v>
      </c>
      <c r="C12" s="26" t="n">
        <f aca="false">Reeksen!B12/B12</f>
        <v>6635.81245283019</v>
      </c>
      <c r="D12" s="29" t="n">
        <f aca="false">IF(A12*1&lt;=2024,Parameters!$B$5,Parameters!$B$19)</f>
        <v>2972.18483624944</v>
      </c>
      <c r="E12" s="26" t="n">
        <f aca="false">Reeksen!B12/D12</f>
        <v>5916.4903829434</v>
      </c>
      <c r="F12" s="30" t="n">
        <f aca="false">E12/Reeksen!F12-1</f>
        <v>0.000421099584612117</v>
      </c>
      <c r="G12" s="31" t="n">
        <f aca="false">IF(A12*1&lt;=2024,Parameters!$B$6,Parameters!$B$20)</f>
        <v>0.744</v>
      </c>
      <c r="H12" s="26" t="n">
        <f aca="false">E12*G12</f>
        <v>4401.86884490989</v>
      </c>
      <c r="I12" s="7" t="n">
        <f aca="false">C12*Reeksen!D12</f>
        <v>1456421481.33472</v>
      </c>
      <c r="J12" s="7" t="n">
        <f aca="false">E12*Reeksen!D12</f>
        <v>1298545392.75803</v>
      </c>
      <c r="K12" s="7" t="n">
        <f aca="false">H12*Reeksen!D12</f>
        <v>966117772.211977</v>
      </c>
      <c r="L12" s="32" t="n">
        <f aca="false">Reeksen!G12*Reeksen!J12*Parameters!$B$26</f>
        <v>18353696.4</v>
      </c>
      <c r="M12" s="33" t="n">
        <f aca="false">I12/L12</f>
        <v>79.3530332851489</v>
      </c>
      <c r="N12" s="34" t="n">
        <f aca="false">J12/L12</f>
        <v>70.7511644770387</v>
      </c>
      <c r="O12" s="33" t="n">
        <f aca="false">K12/L12</f>
        <v>52.6388663709168</v>
      </c>
      <c r="P12" s="33" t="str">
        <f aca="false">IF(Reeksen!K12="","",N12*100/Reeksen!K12)</f>
        <v/>
      </c>
      <c r="Q12" s="35" t="str">
        <f aca="false">IF(Reeksen!L12="","",Reeksen!L12/(Reeksen!I12*Parameters!$B$26))</f>
        <v/>
      </c>
      <c r="R12" s="35" t="str">
        <f aca="false">IF(Reeksen!M12="","",Reeksen!M12/(Reeksen!I12*Parameters!$B$26))</f>
        <v/>
      </c>
    </row>
    <row r="14" customFormat="false" ht="25.5" hidden="false" customHeight="true" outlineLevel="0" collapsed="false">
      <c r="A14" s="27" t="s">
        <v>144</v>
      </c>
    </row>
    <row r="15" customFormat="false" ht="30" hidden="false" customHeight="true" outlineLevel="0" collapsed="false">
      <c r="A15" s="2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4"/>
    <col collapsed="false" customWidth="true" hidden="false" outlineLevel="0" max="4" min="4" style="1" width="44"/>
  </cols>
  <sheetData>
    <row r="1" customFormat="false" ht="15" hidden="false" customHeight="true" outlineLevel="0" collapsed="false">
      <c r="A1" s="4" t="s">
        <v>146</v>
      </c>
    </row>
    <row r="3" customFormat="false" ht="15" hidden="false" customHeight="true" outlineLevel="0" collapsed="false">
      <c r="A3" s="5" t="s">
        <v>147</v>
      </c>
      <c r="B3" s="5" t="s">
        <v>148</v>
      </c>
      <c r="C3" s="5" t="s">
        <v>149</v>
      </c>
      <c r="D3" s="5" t="s">
        <v>150</v>
      </c>
    </row>
    <row r="4" customFormat="false" ht="30" hidden="false" customHeight="true" outlineLevel="0" collapsed="false">
      <c r="A4" s="7" t="s">
        <v>151</v>
      </c>
      <c r="B4" s="31" t="n">
        <f aca="false">Parameters!$B$6</f>
        <v>0.7726</v>
      </c>
      <c r="C4" s="31" t="n">
        <f aca="false">Parameters!$B$18*Parameters!$B$20</f>
        <v>0.6633504</v>
      </c>
      <c r="D4" s="36" t="s">
        <v>152</v>
      </c>
    </row>
    <row r="5" customFormat="false" ht="30" hidden="false" customHeight="true" outlineLevel="0" collapsed="false">
      <c r="A5" s="7" t="s">
        <v>153</v>
      </c>
      <c r="B5" s="31" t="n">
        <f aca="false">Parameters!$B$7</f>
        <v>0.2274</v>
      </c>
      <c r="C5" s="31" t="n">
        <f aca="false">Parameters!$B$18*(1-Parameters!$B$20)</f>
        <v>0.2282496</v>
      </c>
      <c r="D5" s="36" t="s">
        <v>154</v>
      </c>
    </row>
    <row r="6" customFormat="false" ht="30" hidden="false" customHeight="true" outlineLevel="0" collapsed="false">
      <c r="A6" s="7" t="s">
        <v>155</v>
      </c>
      <c r="B6" s="10" t="n">
        <v>0</v>
      </c>
      <c r="C6" s="31" t="n">
        <f aca="false">Parameters!$B$16</f>
        <v>0.0896</v>
      </c>
      <c r="D6" s="36" t="s">
        <v>156</v>
      </c>
    </row>
    <row r="7" customFormat="false" ht="30" hidden="false" customHeight="true" outlineLevel="0" collapsed="false">
      <c r="A7" s="7" t="s">
        <v>157</v>
      </c>
      <c r="B7" s="10" t="n">
        <v>0</v>
      </c>
      <c r="C7" s="31" t="n">
        <f aca="false">Parameters!$B$17</f>
        <v>0.0188</v>
      </c>
      <c r="D7" s="36" t="s">
        <v>158</v>
      </c>
    </row>
    <row r="8" customFormat="false" ht="30" hidden="false" customHeight="true" outlineLevel="0" collapsed="false">
      <c r="A8" s="22" t="s">
        <v>159</v>
      </c>
      <c r="B8" s="31" t="n">
        <f aca="false">SUM(B4:B7)</f>
        <v>1</v>
      </c>
      <c r="C8" s="31" t="n">
        <f aca="false">SUM(C4:C7)</f>
        <v>1</v>
      </c>
      <c r="D8" s="36" t="s">
        <v>160</v>
      </c>
    </row>
    <row r="10" customFormat="false" ht="43.5" hidden="false" customHeight="true" outlineLevel="0" collapsed="false">
      <c r="A10" s="27" t="s">
        <v>161</v>
      </c>
    </row>
    <row r="12" customFormat="false" ht="43.5" hidden="false" customHeight="true" outlineLevel="0" collapsed="false">
      <c r="A12" s="27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4" min="2" style="1" width="14"/>
    <col collapsed="false" customWidth="true" hidden="false" outlineLevel="0" max="5" min="5" style="1" width="34"/>
  </cols>
  <sheetData>
    <row r="1" customFormat="false" ht="15" hidden="false" customHeight="true" outlineLevel="0" collapsed="false">
      <c r="A1" s="4" t="s">
        <v>163</v>
      </c>
    </row>
    <row r="3" customFormat="false" ht="15" hidden="false" customHeight="true" outlineLevel="0" collapsed="false">
      <c r="A3" s="5" t="s">
        <v>164</v>
      </c>
      <c r="B3" s="5" t="s">
        <v>165</v>
      </c>
      <c r="C3" s="5" t="s">
        <v>166</v>
      </c>
      <c r="D3" s="5" t="s">
        <v>167</v>
      </c>
      <c r="E3" s="5" t="s">
        <v>32</v>
      </c>
    </row>
    <row r="4" customFormat="false" ht="27.75" hidden="false" customHeight="true" outlineLevel="0" collapsed="false">
      <c r="A4" s="37" t="s">
        <v>168</v>
      </c>
      <c r="B4" s="38" t="n">
        <f aca="false">(Parameters!$B$8+Parameters!$B$9)*0.3389/Parameters!$B$5</f>
        <v>50.2155975656325</v>
      </c>
      <c r="C4" s="39" t="n">
        <v>50.21</v>
      </c>
      <c r="D4" s="33" t="n">
        <f aca="false">B4-C4</f>
        <v>0.00559756563245628</v>
      </c>
      <c r="E4" s="36" t="s">
        <v>169</v>
      </c>
    </row>
    <row r="5" customFormat="false" ht="27.75" hidden="false" customHeight="true" outlineLevel="0" collapsed="false">
      <c r="A5" s="37" t="s">
        <v>170</v>
      </c>
      <c r="B5" s="38" t="n">
        <f aca="false">(Parameters!$B$8+Parameters!$B$9)*0.2628/Parameters!$B$10</f>
        <v>9.09866593798795</v>
      </c>
      <c r="C5" s="39" t="n">
        <v>9.1</v>
      </c>
      <c r="D5" s="33" t="n">
        <f aca="false">B5-C5</f>
        <v>-0.001334062012047</v>
      </c>
      <c r="E5" s="36" t="s">
        <v>169</v>
      </c>
    </row>
    <row r="6" customFormat="false" ht="27.75" hidden="false" customHeight="true" outlineLevel="0" collapsed="false">
      <c r="A6" s="37" t="s">
        <v>171</v>
      </c>
      <c r="B6" s="29" t="n">
        <f aca="false">Parameters!$B$19</f>
        <v>2972.18483624944</v>
      </c>
      <c r="C6" s="29" t="n">
        <f aca="false">Reeksen!B11/Reeksen!F11</f>
        <v>2973.58317757009</v>
      </c>
      <c r="D6" s="30" t="n">
        <f aca="false">B6/C6-1</f>
        <v>-0.000470254651425917</v>
      </c>
      <c r="E6" s="36" t="s">
        <v>172</v>
      </c>
    </row>
    <row r="7" customFormat="false" ht="27.75" hidden="false" customHeight="true" outlineLevel="0" collapsed="false">
      <c r="A7" s="37" t="s">
        <v>173</v>
      </c>
      <c r="B7" s="40" t="n">
        <f aca="false">MAX(ABS(Berekening!F4),ABS(Berekening!F5),ABS(Berekening!F6),ABS(Berekening!F7),ABS(Berekening!F8),ABS(Berekening!F9),ABS(Berekening!F10),ABS(Berekening!F11),ABS(Berekening!F12))</f>
        <v>0.000470475894903899</v>
      </c>
      <c r="C7" s="41" t="n">
        <v>0.001</v>
      </c>
      <c r="D7" s="30" t="n">
        <f aca="false">B7-C7</f>
        <v>-0.000529524105096101</v>
      </c>
      <c r="E7" s="36" t="s">
        <v>174</v>
      </c>
    </row>
    <row r="8" customFormat="false" ht="27.75" hidden="false" customHeight="true" outlineLevel="0" collapsed="false">
      <c r="A8" s="37" t="s">
        <v>175</v>
      </c>
      <c r="B8" s="28" t="n">
        <f aca="false">4477/1.62</f>
        <v>2763.58024691358</v>
      </c>
      <c r="C8" s="28" t="n">
        <f aca="false">Parameters!$B$15</f>
        <v>2650</v>
      </c>
      <c r="D8" s="30" t="n">
        <f aca="false">B8/C8-1</f>
        <v>0.0428604705334266</v>
      </c>
      <c r="E8" s="36" t="s">
        <v>176</v>
      </c>
    </row>
    <row r="10" customFormat="false" ht="15" hidden="false" customHeight="true" outlineLevel="0" collapsed="false">
      <c r="A10" s="6" t="s">
        <v>177</v>
      </c>
    </row>
    <row r="11" customFormat="false" ht="15" hidden="false" customHeight="true" outlineLevel="0" collapsed="false">
      <c r="A11" s="7" t="s">
        <v>178</v>
      </c>
      <c r="B11" s="38" t="n">
        <f aca="false">Berekening!N10</f>
        <v>77.433213063594</v>
      </c>
    </row>
    <row r="12" customFormat="false" ht="15" hidden="false" customHeight="true" outlineLevel="0" collapsed="false">
      <c r="A12" s="7" t="s">
        <v>179</v>
      </c>
      <c r="B12" s="38" t="n">
        <f aca="false">Berekening!N11</f>
        <v>64.746427568639</v>
      </c>
    </row>
    <row r="13" customFormat="false" ht="15" hidden="false" customHeight="true" outlineLevel="0" collapsed="false">
      <c r="A13" s="22" t="s">
        <v>180</v>
      </c>
      <c r="B13" s="38" t="n">
        <f aca="false">B12-B11</f>
        <v>-12.686785494955</v>
      </c>
    </row>
    <row r="14" customFormat="false" ht="15" hidden="false" customHeight="true" outlineLevel="0" collapsed="false">
      <c r="A14" s="7" t="s">
        <v>181</v>
      </c>
      <c r="B14" s="38" t="n">
        <f aca="false">Berekening!M11-B11</f>
        <v>-4.81496769724251</v>
      </c>
    </row>
    <row r="15" customFormat="false" ht="15" hidden="false" customHeight="true" outlineLevel="0" collapsed="false">
      <c r="A15" s="7" t="s">
        <v>182</v>
      </c>
      <c r="B15" s="38" t="n">
        <f aca="false">B12-Berekening!M11</f>
        <v>-7.8718177977125</v>
      </c>
    </row>
    <row r="16" customFormat="false" ht="15" hidden="false" customHeight="true" outlineLevel="0" collapsed="false">
      <c r="A16" s="7" t="s">
        <v>183</v>
      </c>
      <c r="B16" s="38" t="n">
        <f aca="false">B14+B15-B13</f>
        <v>0</v>
      </c>
    </row>
    <row r="18" customFormat="false" ht="27.75" hidden="false" customHeight="true" outlineLevel="0" collapsed="false">
      <c r="A18" s="27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2026-08-07T10:22:22Z</dcterms:created>
  <dc:creator>openpyxl</dc:creator>
  <dc:description/>
  <dc:language>en-US</dc:language>
  <cp:lastModifiedBy/>
  <dcterms:modified xsi:type="dcterms:W3CDTF">2026-08-07T10:39:54Z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